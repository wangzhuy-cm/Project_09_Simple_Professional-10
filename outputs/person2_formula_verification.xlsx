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596539836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f90b86ff0446de"/>
    <x:sheet xmlns:r="http://schemas.openxmlformats.org/officeDocument/2006/relationships" name="Case_Zero_Return" sheetId="2" r:id="Rf5d2f9f5ccee4228"/>
    <x:sheet xmlns:r="http://schemas.openxmlformats.org/officeDocument/2006/relationships" name="Case_6pct_Return" sheetId="3" r:id="R3cc9aab36ad34e58"/>
    <x:sheet xmlns:r="http://schemas.openxmlformats.org/officeDocument/2006/relationships" name="Case_1_Month" sheetId="4" r:id="R35f811778cc946a9"/>
    <x:sheet xmlns:r="http://schemas.openxmlformats.org/officeDocument/2006/relationships" name="Case_Inflation_4pct" sheetId="5" r:id="Re45c962b517c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0%"/>
    <x:numFmt numFmtId="202" formatCode="#,##0.00;[Red](#,##0.00);-"/>
    <x:numFmt numFmtId="203" formatCode="0.000000"/>
    <x:numFmt numFmtId="204" formatCode="0.000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2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1cac24ddc4715" /><Relationship Type="http://schemas.openxmlformats.org/officeDocument/2006/relationships/theme" Target="/xl/theme/theme1.xml" Id="R2ad88f25569d42d5" /><Relationship Type="http://schemas.openxmlformats.org/officeDocument/2006/relationships/sharedStrings" Target="/xl/sharedStrings.xml" Id="R9788208cadb44847" /><Relationship Type="http://schemas.openxmlformats.org/officeDocument/2006/relationships/worksheet" Target="/xl/worksheets/sheet1.xml" Id="R3df90b86ff0446de" /><Relationship Type="http://schemas.openxmlformats.org/officeDocument/2006/relationships/worksheet" Target="/xl/worksheets/sheet2.xml" Id="Rf5d2f9f5ccee4228" /><Relationship Type="http://schemas.openxmlformats.org/officeDocument/2006/relationships/worksheet" Target="/xl/worksheets/sheet3.xml" Id="R3cc9aab36ad34e58" /><Relationship Type="http://schemas.openxmlformats.org/officeDocument/2006/relationships/worksheet" Target="/xl/worksheets/sheet4.xml" Id="R35f811778cc946a9" /><Relationship Type="http://schemas.openxmlformats.org/officeDocument/2006/relationships/worksheet" Target="/xl/worksheets/sheet5.xml" Id="Re45c962b517c41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Project 09 - Person 2 Formula Verification</x:v>
      </x:c>
      <x:c r="B1" s="3"/>
      <x:c r="C1" s="3"/>
      <x:c r="D1" s="3"/>
      <x:c r="E1" s="3"/>
      <x:c r="F1" s="3"/>
    </x:row>
    <x:row r="3">
      <x:c r="A3" s="32" t="str">
        <x:v>Case</x:v>
      </x:c>
      <x:c r="B3" s="32" t="str">
        <x:v>Purpose</x:v>
      </x:c>
      <x:c r="C3" s="32" t="str">
        <x:v>Metrics checked</x:v>
      </x:c>
      <x:c r="D3" s="32" t="str">
        <x:v>PASS count</x:v>
      </x:c>
      <x:c r="E3" s="32" t="str">
        <x:v>FAIL count</x:v>
      </x:c>
      <x:c r="F3" s="32" t="str">
        <x:v>Overall</x:v>
      </x:c>
    </x:row>
    <x:row r="4">
      <x:c r="A4" s="31" t="str">
        <x:v>Case_Zero_Return</x:v>
      </x:c>
      <x:c r="B4" s="31" t="str">
        <x:v>P001 / 0% return / 36 months</x:v>
      </x:c>
      <x:c r="C4" s="31" t="n">
        <x:v>15</x:v>
      </x:c>
      <x:c r="D4" s="31" t="n">
        <x:f>COUNTIF(Case_Zero_Return!F18:F32,"PASS")</x:f>
        <x:v>15</x:v>
      </x:c>
      <x:c r="E4" s="31" t="n">
        <x:f>COUNTIF(Case_Zero_Return!F18:F32,"FAIL")</x:f>
        <x:v>0</x:v>
      </x:c>
      <x:c r="F4" s="31" t="str">
        <x:f>IF(E4=0,"PASS","FAIL")</x:f>
        <x:v>PASS</x:v>
      </x:c>
    </x:row>
    <x:row r="5">
      <x:c r="A5" s="31" t="str">
        <x:v>Case_6pct_Return</x:v>
      </x:c>
      <x:c r="B5" s="31" t="str">
        <x:v>P001 / 6% annual effective return</x:v>
      </x:c>
      <x:c r="C5" s="31" t="n">
        <x:v>15</x:v>
      </x:c>
      <x:c r="D5" s="31" t="n">
        <x:f>COUNTIF(Case_6pct_Return!F18:F32,"PASS")</x:f>
        <x:v>15</x:v>
      </x:c>
      <x:c r="E5" s="31" t="n">
        <x:f>COUNTIF(Case_6pct_Return!F18:F32,"FAIL")</x:f>
        <x:v>0</x:v>
      </x:c>
      <x:c r="F5" s="31" t="str">
        <x:f>IF(E5=0,"PASS","FAIL")</x:f>
        <x:v>PASS</x:v>
      </x:c>
    </x:row>
    <x:row r="6">
      <x:c r="A6" s="31" t="str">
        <x:v>Case_1_Month</x:v>
      </x:c>
      <x:c r="B6" s="31" t="str">
        <x:v>1-month horizon / 0% return</x:v>
      </x:c>
      <x:c r="C6" s="31" t="n">
        <x:v>15</x:v>
      </x:c>
      <x:c r="D6" s="31" t="n">
        <x:f>COUNTIF(Case_1_Month!F18:F32,"PASS")</x:f>
        <x:v>15</x:v>
      </x:c>
      <x:c r="E6" s="31" t="n">
        <x:f>COUNTIF(Case_1_Month!F18:F32,"FAIL")</x:f>
        <x:v>0</x:v>
      </x:c>
      <x:c r="F6" s="31" t="str">
        <x:f>IF(E6=0,"PASS","FAIL")</x:f>
        <x:v>PASS</x:v>
      </x:c>
    </x:row>
    <x:row r="7">
      <x:c r="A7" s="31" t="str">
        <x:v>Case_Inflation_4pct</x:v>
      </x:c>
      <x:c r="B7" s="31" t="str">
        <x:v>P001 / 4% annual inflation</x:v>
      </x:c>
      <x:c r="C7" s="31" t="n">
        <x:v>15</x:v>
      </x:c>
      <x:c r="D7" s="31" t="n">
        <x:f>COUNTIF(Case_Inflation_4pct!F18:F32,"PASS")</x:f>
        <x:v>15</x:v>
      </x:c>
      <x:c r="E7" s="31" t="n">
        <x:f>COUNTIF(Case_Inflation_4pct!F18:F32,"FAIL")</x:f>
        <x:v>0</x:v>
      </x:c>
      <x:c r="F7" s="31" t="str">
        <x:f>IF(E7=0,"PASS","FAIL")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</x:cols>
  <x:sheetData>
    <x:row r="1">
      <x:c r="A1" s="30" t="str">
        <x:v>Case_Zero_Return - Independent Excel Check</x:v>
      </x:c>
      <x:c r="B1" s="30"/>
      <x:c r="C1" s="30"/>
      <x:c r="D1" s="30"/>
      <x:c r="E1" s="30"/>
      <x:c r="F1" s="30"/>
    </x:row>
    <x:row r="2">
      <x:c r="A2" s="31"/>
      <x:c r="B2" s="31"/>
      <x:c r="C2" s="31"/>
      <x:c r="D2" s="31"/>
      <x:c r="E2" s="31"/>
      <x:c r="F2" s="31"/>
    </x:row>
    <x:row r="3">
      <x:c r="A3" s="32" t="str">
        <x:v>Input</x:v>
      </x:c>
      <x:c r="B3" s="32" t="str">
        <x:v>Value</x:v>
      </x:c>
      <x:c r="C3" s="32" t="str">
        <x:v>Unit</x:v>
      </x:c>
      <x:c r="D3" s="32" t="str">
        <x:v>Note</x:v>
      </x:c>
      <x:c r="E3" s="31"/>
      <x:c r="F3" s="31"/>
    </x:row>
    <x:row r="4">
      <x:c r="A4" s="31" t="str">
        <x:v>Monthly primary income</x:v>
      </x:c>
      <x:c r="B4" s="33" t="n">
        <x:v>8000000</x:v>
      </x:c>
      <x:c r="C4" s="31" t="str">
        <x:v>VND/month</x:v>
      </x:c>
      <x:c r="D4" s="31" t="str">
        <x:v>FinancialProfile</x:v>
      </x:c>
      <x:c r="E4" s="31"/>
      <x:c r="F4" s="31"/>
    </x:row>
    <x:row r="5">
      <x:c r="A5" s="31" t="str">
        <x:v>Monthly other income</x:v>
      </x:c>
      <x:c r="B5" s="33" t="n">
        <x:v>2000000</x:v>
      </x:c>
      <x:c r="C5" s="31" t="str">
        <x:v>VND/month</x:v>
      </x:c>
      <x:c r="D5" s="31" t="str">
        <x:v>FinancialProfile</x:v>
      </x:c>
      <x:c r="E5" s="31"/>
      <x:c r="F5" s="31"/>
    </x:row>
    <x:row r="6">
      <x:c r="A6" s="31" t="str">
        <x:v>Monthly essential expense</x:v>
      </x:c>
      <x:c r="B6" s="33" t="n">
        <x:v>5000000</x:v>
      </x:c>
      <x:c r="C6" s="31" t="str">
        <x:v>VND/month</x:v>
      </x:c>
      <x:c r="D6" s="31" t="str">
        <x:v>FinancialProfile</x:v>
      </x:c>
      <x:c r="E6" s="31"/>
      <x:c r="F6" s="31"/>
    </x:row>
    <x:row r="7">
      <x:c r="A7" s="31" t="str">
        <x:v>Monthly discretionary expense</x:v>
      </x:c>
      <x:c r="B7" s="33" t="n">
        <x:v>2000000</x:v>
      </x:c>
      <x:c r="C7" s="31" t="str">
        <x:v>VND/month</x:v>
      </x:c>
      <x:c r="D7" s="31" t="str">
        <x:v>FinancialProfile</x:v>
      </x:c>
      <x:c r="E7" s="31"/>
      <x:c r="F7" s="31"/>
    </x:row>
    <x:row r="8">
      <x:c r="A8" s="31" t="str">
        <x:v>Monthly debt payment</x:v>
      </x:c>
      <x:c r="B8" s="33" t="n">
        <x:v>0</x:v>
      </x:c>
      <x:c r="C8" s="31" t="str">
        <x:v>VND/month</x:v>
      </x:c>
      <x:c r="D8" s="31" t="str">
        <x:v>FinancialProfile</x:v>
      </x:c>
      <x:c r="E8" s="31"/>
      <x:c r="F8" s="31"/>
    </x:row>
    <x:row r="9">
      <x:c r="A9" s="31" t="str">
        <x:v>Current savings</x:v>
      </x:c>
      <x:c r="B9" s="33" t="n">
        <x:v>15000000</x:v>
      </x:c>
      <x:c r="C9" s="31" t="str">
        <x:v>VND</x:v>
      </x:c>
      <x:c r="D9" s="31" t="str">
        <x:v>FinancialProfile</x:v>
      </x:c>
      <x:c r="E9" s="31"/>
      <x:c r="F9" s="31"/>
    </x:row>
    <x:row r="10">
      <x:c r="A10" s="31" t="str">
        <x:v>Emergency fund reserved</x:v>
      </x:c>
      <x:c r="B10" s="33" t="n">
        <x:v>5000000</x:v>
      </x:c>
      <x:c r="C10" s="31" t="str">
        <x:v>VND</x:v>
      </x:c>
      <x:c r="D10" s="31" t="str">
        <x:v>FinancialProfile</x:v>
      </x:c>
      <x:c r="E10" s="31"/>
      <x:c r="F10" s="31"/>
    </x:row>
    <x:row r="11">
      <x:c r="A11" s="31" t="str">
        <x:v>Goal amount</x:v>
      </x:c>
      <x:c r="B11" s="33" t="n">
        <x:v>100000000</x:v>
      </x:c>
      <x:c r="C11" s="31" t="str">
        <x:v>VND</x:v>
      </x:c>
      <x:c r="D11" s="31" t="str">
        <x:v>FinancialProfile</x:v>
      </x:c>
      <x:c r="E11" s="31"/>
      <x:c r="F11" s="31"/>
    </x:row>
    <x:row r="12">
      <x:c r="A12" s="31" t="str">
        <x:v>Goal horizon</x:v>
      </x:c>
      <x:c r="B12" s="33" t="n">
        <x:v>36</x:v>
      </x:c>
      <x:c r="C12" s="31" t="str">
        <x:v>months</x:v>
      </x:c>
      <x:c r="D12" s="31" t="str">
        <x:v>FinancialProfile</x:v>
      </x:c>
      <x:c r="E12" s="31"/>
      <x:c r="F12" s="31"/>
    </x:row>
    <x:row r="13">
      <x:c r="A13" s="31" t="str">
        <x:v>Annual return rate</x:v>
      </x:c>
      <x:c r="B13" s="34" t="n">
        <x:v>0</x:v>
      </x:c>
      <x:c r="C13" s="31" t="str">
        <x:v>decimal/year</x:v>
      </x:c>
      <x:c r="D13" s="31" t="str">
        <x:v>Assumption</x:v>
      </x:c>
      <x:c r="E13" s="31"/>
      <x:c r="F13" s="31"/>
    </x:row>
    <x:row r="14">
      <x:c r="A14" s="31" t="str">
        <x:v>Monthly contribution</x:v>
      </x:c>
      <x:c r="B14" s="33" t="n">
        <x:v>3000000</x:v>
      </x:c>
      <x:c r="C14" s="31" t="str">
        <x:v>VND/month</x:v>
      </x:c>
      <x:c r="D14" s="31" t="str">
        <x:v>Assumption/default surplus</x:v>
      </x:c>
      <x:c r="E14" s="31"/>
      <x:c r="F14" s="31"/>
    </x:row>
    <x:row r="15">
      <x:c r="A15" s="31" t="str">
        <x:v>Annual inflation rate</x:v>
      </x:c>
      <x:c r="B15" s="34" t="n">
        <x:v>0</x:v>
      </x:c>
      <x:c r="C15" s="31" t="str">
        <x:v>decimal/year</x:v>
      </x:c>
      <x:c r="D15" s="31" t="str">
        <x:v>Assumption</x:v>
      </x:c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2" t="str">
        <x:v>Metric</x:v>
      </x:c>
      <x:c r="B17" s="32" t="str">
        <x:v>Calculation</x:v>
      </x:c>
      <x:c r="C17" s="32" t="str">
        <x:v>Excel Result</x:v>
      </x:c>
      <x:c r="D17" s="32" t="str">
        <x:v>Python Result</x:v>
      </x:c>
      <x:c r="E17" s="32" t="str">
        <x:v>Difference</x:v>
      </x:c>
      <x:c r="F17" s="32" t="str">
        <x:v>Status</x:v>
      </x:c>
    </x:row>
    <x:row r="18">
      <x:c r="A18" s="31" t="str">
        <x:v>Total monthly income</x:v>
      </x:c>
      <x:c r="B18" s="31" t="str">
        <x:v>Primary income + Other income</x:v>
      </x:c>
      <x:c r="C18" s="35" t="n">
        <x:f>B4+B5</x:f>
        <x:v>10000000</x:v>
      </x:c>
      <x:c r="D18" s="36" t="n">
        <x:v>10000000</x:v>
      </x:c>
      <x:c r="E18" s="35" t="n">
        <x:f>C18-D18</x:f>
        <x:v>0</x:v>
      </x:c>
      <x:c r="F18" s="31" t="str">
        <x:f>IF(ABS(E18)&lt;0.01,"PASS","FAIL")</x:f>
        <x:v>PASS</x:v>
      </x:c>
    </x:row>
    <x:row r="19">
      <x:c r="A19" s="31" t="str">
        <x:v>Total monthly outflow</x:v>
      </x:c>
      <x:c r="B19" s="31" t="str">
        <x:v>Essential + Discretionary + Debt</x:v>
      </x:c>
      <x:c r="C19" s="35" t="n">
        <x:f>SUM(B6:B8)</x:f>
        <x:v>7000000</x:v>
      </x:c>
      <x:c r="D19" s="36" t="n">
        <x:v>7000000</x:v>
      </x:c>
      <x:c r="E19" s="35" t="n">
        <x:f>C19-D19</x:f>
        <x:v>0</x:v>
      </x:c>
      <x:c r="F19" s="31" t="str">
        <x:f>IF(ABS(E19)&lt;0.01,"PASS","FAIL")</x:f>
        <x:v>PASS</x:v>
      </x:c>
    </x:row>
    <x:row r="20">
      <x:c r="A20" s="31" t="str">
        <x:v>Monthly surplus</x:v>
      </x:c>
      <x:c r="B20" s="31" t="str">
        <x:v>Total income - Total outflow</x:v>
      </x:c>
      <x:c r="C20" s="35" t="n">
        <x:f>C18-C19</x:f>
        <x:v>3000000</x:v>
      </x:c>
      <x:c r="D20" s="36" t="n">
        <x:v>3000000</x:v>
      </x:c>
      <x:c r="E20" s="35" t="n">
        <x:f>C20-D20</x:f>
        <x:v>0</x:v>
      </x:c>
      <x:c r="F20" s="31" t="str">
        <x:f>IF(ABS(E20)&lt;0.01,"PASS","FAIL")</x:f>
        <x:v>PASS</x:v>
      </x:c>
    </x:row>
    <x:row r="21">
      <x:c r="A21" s="31" t="str">
        <x:v>Savings rate</x:v>
      </x:c>
      <x:c r="B21" s="31" t="str">
        <x:v>Monthly surplus / Total income</x:v>
      </x:c>
      <x:c r="C21" s="37" t="n">
        <x:f>IF(C18=0,NA(),C20/C18)</x:f>
        <x:v>0.3</x:v>
      </x:c>
      <x:c r="D21" s="34" t="n">
        <x:v>0.3</x:v>
      </x:c>
      <x:c r="E21" s="38" t="n">
        <x:f>C21-D21</x:f>
        <x:v>0</x:v>
      </x:c>
      <x:c r="F21" s="31" t="str">
        <x:f>IF(ABS(E21)&lt;0.01,"PASS","FAIL")</x:f>
        <x:v>PASS</x:v>
      </x:c>
    </x:row>
    <x:row r="22">
      <x:c r="A22" s="31" t="str">
        <x:v>Initial available amount</x:v>
      </x:c>
      <x:c r="B22" s="31" t="str">
        <x:v>MAX(Current savings - Emergency reserve, 0)</x:v>
      </x:c>
      <x:c r="C22" s="35" t="n">
        <x:f>MAX(B9-B10,0)</x:f>
        <x:v>10000000</x:v>
      </x:c>
      <x:c r="D22" s="36" t="n">
        <x:v>10000000</x:v>
      </x:c>
      <x:c r="E22" s="35" t="n">
        <x:f>C22-D22</x:f>
        <x:v>0</x:v>
      </x:c>
      <x:c r="F22" s="31" t="str">
        <x:f>IF(ABS(E22)&lt;0.01,"PASS","FAIL")</x:f>
        <x:v>PASS</x:v>
      </x:c>
    </x:row>
    <x:row r="23">
      <x:c r="A23" s="31" t="str">
        <x:v>Monthly return rate</x:v>
      </x:c>
      <x:c r="B23" s="31" t="str">
        <x:v>(1 + annual return)^(1/12) - 1</x:v>
      </x:c>
      <x:c r="C23" s="39" t="n">
        <x:f>IF(B13=0,0,(1+B13)^(1/12)-1)</x:f>
        <x:v>0</x:v>
      </x:c>
      <x:c r="D23" s="40" t="n">
        <x:v>0</x:v>
      </x:c>
      <x:c r="E23" s="38" t="n">
        <x:f>C23-D23</x:f>
        <x:v>0</x:v>
      </x:c>
      <x:c r="F23" s="31" t="str">
        <x:f>IF(ABS(E23)&lt;0.01,"PASS","FAIL")</x:f>
        <x:v>PASS</x:v>
      </x:c>
    </x:row>
    <x:row r="24">
      <x:c r="A24" s="31" t="str">
        <x:v>Monthly inflation rate</x:v>
      </x:c>
      <x:c r="B24" s="31" t="str">
        <x:v>(1 + annual inflation)^(1/12) - 1</x:v>
      </x:c>
      <x:c r="C24" s="39" t="n">
        <x:f>IF(B15=0,0,(1+B15)^(1/12)-1)</x:f>
        <x:v>0</x:v>
      </x:c>
      <x:c r="D24" s="40" t="n">
        <x:v>0</x:v>
      </x:c>
      <x:c r="E24" s="38" t="n">
        <x:f>C24-D24</x:f>
        <x:v>0</x:v>
      </x:c>
      <x:c r="F24" s="31" t="str">
        <x:f>IF(ABS(E24)&lt;0.01,"PASS","FAIL")</x:f>
        <x:v>PASS</x:v>
      </x:c>
    </x:row>
    <x:row r="25">
      <x:c r="A25" s="31" t="str">
        <x:v>Adjusted goal amount</x:v>
      </x:c>
      <x:c r="B25" s="31" t="str">
        <x:v>Goal × (1 + monthly inflation)^n</x:v>
      </x:c>
      <x:c r="C25" s="35" t="n">
        <x:f>B11*(1+C24)^B12</x:f>
        <x:v>100000000</x:v>
      </x:c>
      <x:c r="D25" s="36" t="n">
        <x:v>100000000</x:v>
      </x:c>
      <x:c r="E25" s="35" t="n">
        <x:f>C25-D25</x:f>
        <x:v>0</x:v>
      </x:c>
      <x:c r="F25" s="31" t="str">
        <x:f>IF(ABS(E25)&lt;0.01,"PASS","FAIL")</x:f>
        <x:v>PASS</x:v>
      </x:c>
    </x:row>
    <x:row r="26">
      <x:c r="A26" s="31" t="str">
        <x:v>FV initial</x:v>
      </x:c>
      <x:c r="B26" s="31" t="str">
        <x:v>PV × (1 + monthly return)^n</x:v>
      </x:c>
      <x:c r="C26" s="35" t="n">
        <x:f>C22*(1+C23)^B12</x:f>
        <x:v>10000000</x:v>
      </x:c>
      <x:c r="D26" s="36" t="n">
        <x:v>10000000</x:v>
      </x:c>
      <x:c r="E26" s="35" t="n">
        <x:f>C26-D26</x:f>
        <x:v>0</x:v>
      </x:c>
      <x:c r="F26" s="31" t="str">
        <x:f>IF(ABS(E26)&lt;0.01,"PASS","FAIL")</x:f>
        <x:v>PASS</x:v>
      </x:c>
    </x:row>
    <x:row r="27">
      <x:c r="A27" s="31" t="str">
        <x:v>FV contribution</x:v>
      </x:c>
      <x:c r="B27" s="31" t="str">
        <x:v>PMT annuity; PMT×n when return=0</x:v>
      </x:c>
      <x:c r="C27" s="35" t="n">
        <x:f>IF(C23=0,B14*B12,B14*(((1+C23)^B12-1)/C23))</x:f>
        <x:v>108000000</x:v>
      </x:c>
      <x:c r="D27" s="36" t="n">
        <x:v>108000000</x:v>
      </x:c>
      <x:c r="E27" s="35" t="n">
        <x:f>C27-D27</x:f>
        <x:v>0</x:v>
      </x:c>
      <x:c r="F27" s="31" t="str">
        <x:f>IF(ABS(E27)&lt;0.01,"PASS","FAIL")</x:f>
        <x:v>PASS</x:v>
      </x:c>
    </x:row>
    <x:row r="28">
      <x:c r="A28" s="31" t="str">
        <x:v>FV total</x:v>
      </x:c>
      <x:c r="B28" s="31" t="str">
        <x:v>FV initial + FV contribution</x:v>
      </x:c>
      <x:c r="C28" s="35" t="n">
        <x:f>C26+C27</x:f>
        <x:v>118000000</x:v>
      </x:c>
      <x:c r="D28" s="36" t="n">
        <x:v>118000000</x:v>
      </x:c>
      <x:c r="E28" s="35" t="n">
        <x:f>C28-D28</x:f>
        <x:v>0</x:v>
      </x:c>
      <x:c r="F28" s="31" t="str">
        <x:f>IF(ABS(E28)&lt;0.01,"PASS","FAIL")</x:f>
        <x:v>PASS</x:v>
      </x:c>
    </x:row>
    <x:row r="29">
      <x:c r="A29" s="31" t="str">
        <x:v>Goal gap</x:v>
      </x:c>
      <x:c r="B29" s="31" t="str">
        <x:v>Adjusted goal - FV total</x:v>
      </x:c>
      <x:c r="C29" s="35" t="n">
        <x:f>C25-C28</x:f>
        <x:v>-18000000</x:v>
      </x:c>
      <x:c r="D29" s="36" t="n">
        <x:v>-18000000</x:v>
      </x:c>
      <x:c r="E29" s="35" t="n">
        <x:f>C29-D29</x:f>
        <x:v>0</x:v>
      </x:c>
      <x:c r="F29" s="31" t="str">
        <x:f>IF(ABS(E29)&lt;0.01,"PASS","FAIL")</x:f>
        <x:v>PASS</x:v>
      </x:c>
    </x:row>
    <x:row r="30">
      <x:c r="A30" s="31" t="str">
        <x:v>Required monthly contribution</x:v>
      </x:c>
      <x:c r="B30" s="31" t="str">
        <x:v>Solve PMT needed to hit adjusted goal</x:v>
      </x:c>
      <x:c r="C30" s="35" t="n">
        <x:f>IF(C23=0,MAX(0,(C25-C26)/B12),MAX(0,(C25-C26)/(((1+C23)^B12-1)/C23)))</x:f>
        <x:v>2500000</x:v>
      </x:c>
      <x:c r="D30" s="36" t="n">
        <x:v>2500000</x:v>
      </x:c>
      <x:c r="E30" s="35" t="n">
        <x:f>C30-D30</x:f>
        <x:v>0</x:v>
      </x:c>
      <x:c r="F30" s="31" t="str">
        <x:f>IF(ABS(E30)&lt;0.01,"PASS","FAIL")</x:f>
        <x:v>PASS</x:v>
      </x:c>
    </x:row>
    <x:row r="31">
      <x:c r="A31" s="31" t="str">
        <x:v>Contribution affordability gap</x:v>
      </x:c>
      <x:c r="B31" s="31" t="str">
        <x:v>MAX(Current PMT - MAX(Surplus,0), 0)</x:v>
      </x:c>
      <x:c r="C31" s="35" t="n">
        <x:f>MAX(B14-MAX(C20,0),0)</x:f>
        <x:v>0</x:v>
      </x:c>
      <x:c r="D31" s="36" t="n">
        <x:v>0</x:v>
      </x:c>
      <x:c r="E31" s="35" t="n">
        <x:f>C31-D31</x:f>
        <x:v>0</x:v>
      </x:c>
      <x:c r="F31" s="31" t="str">
        <x:f>IF(ABS(E31)&lt;0.01,"PASS","FAIL")</x:f>
        <x:v>PASS</x:v>
      </x:c>
    </x:row>
    <x:row r="32">
      <x:c r="A32" s="31" t="str">
        <x:v>Required contribution gap</x:v>
      </x:c>
      <x:c r="B32" s="31" t="str">
        <x:v>MAX(Required PMT - MAX(Surplus,0), 0)</x:v>
      </x:c>
      <x:c r="C32" s="35" t="n">
        <x:f>MAX(C30-MAX(C20,0),0)</x:f>
        <x:v>0</x:v>
      </x:c>
      <x:c r="D32" s="36" t="n">
        <x:v>0</x:v>
      </x:c>
      <x:c r="E32" s="35" t="n">
        <x:f>C32-D32</x:f>
        <x:v>0</x:v>
      </x:c>
      <x:c r="F32" s="31" t="str">
        <x:f>IF(ABS(E32)&lt;0.01,"PASS","FAIL")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</x:cols>
  <x:sheetData>
    <x:row r="1">
      <x:c r="A1" s="30" t="str">
        <x:v>Case_6pct_Return - Independent Excel Check</x:v>
      </x:c>
      <x:c r="B1" s="30"/>
      <x:c r="C1" s="30"/>
      <x:c r="D1" s="30"/>
      <x:c r="E1" s="30"/>
      <x:c r="F1" s="30"/>
    </x:row>
    <x:row r="2">
      <x:c r="A2" s="31"/>
      <x:c r="B2" s="31"/>
      <x:c r="C2" s="31"/>
      <x:c r="D2" s="31"/>
      <x:c r="E2" s="31"/>
      <x:c r="F2" s="31"/>
    </x:row>
    <x:row r="3">
      <x:c r="A3" s="32" t="str">
        <x:v>Input</x:v>
      </x:c>
      <x:c r="B3" s="32" t="str">
        <x:v>Value</x:v>
      </x:c>
      <x:c r="C3" s="32" t="str">
        <x:v>Unit</x:v>
      </x:c>
      <x:c r="D3" s="32" t="str">
        <x:v>Note</x:v>
      </x:c>
      <x:c r="E3" s="31"/>
      <x:c r="F3" s="31"/>
    </x:row>
    <x:row r="4">
      <x:c r="A4" s="31" t="str">
        <x:v>Monthly primary income</x:v>
      </x:c>
      <x:c r="B4" s="33" t="n">
        <x:v>8000000</x:v>
      </x:c>
      <x:c r="C4" s="31" t="str">
        <x:v>VND/month</x:v>
      </x:c>
      <x:c r="D4" s="31" t="str">
        <x:v>FinancialProfile</x:v>
      </x:c>
      <x:c r="E4" s="31"/>
      <x:c r="F4" s="31"/>
    </x:row>
    <x:row r="5">
      <x:c r="A5" s="31" t="str">
        <x:v>Monthly other income</x:v>
      </x:c>
      <x:c r="B5" s="33" t="n">
        <x:v>2000000</x:v>
      </x:c>
      <x:c r="C5" s="31" t="str">
        <x:v>VND/month</x:v>
      </x:c>
      <x:c r="D5" s="31" t="str">
        <x:v>FinancialProfile</x:v>
      </x:c>
      <x:c r="E5" s="31"/>
      <x:c r="F5" s="31"/>
    </x:row>
    <x:row r="6">
      <x:c r="A6" s="31" t="str">
        <x:v>Monthly essential expense</x:v>
      </x:c>
      <x:c r="B6" s="33" t="n">
        <x:v>5000000</x:v>
      </x:c>
      <x:c r="C6" s="31" t="str">
        <x:v>VND/month</x:v>
      </x:c>
      <x:c r="D6" s="31" t="str">
        <x:v>FinancialProfile</x:v>
      </x:c>
      <x:c r="E6" s="31"/>
      <x:c r="F6" s="31"/>
    </x:row>
    <x:row r="7">
      <x:c r="A7" s="31" t="str">
        <x:v>Monthly discretionary expense</x:v>
      </x:c>
      <x:c r="B7" s="33" t="n">
        <x:v>2000000</x:v>
      </x:c>
      <x:c r="C7" s="31" t="str">
        <x:v>VND/month</x:v>
      </x:c>
      <x:c r="D7" s="31" t="str">
        <x:v>FinancialProfile</x:v>
      </x:c>
      <x:c r="E7" s="31"/>
      <x:c r="F7" s="31"/>
    </x:row>
    <x:row r="8">
      <x:c r="A8" s="31" t="str">
        <x:v>Monthly debt payment</x:v>
      </x:c>
      <x:c r="B8" s="33" t="n">
        <x:v>0</x:v>
      </x:c>
      <x:c r="C8" s="31" t="str">
        <x:v>VND/month</x:v>
      </x:c>
      <x:c r="D8" s="31" t="str">
        <x:v>FinancialProfile</x:v>
      </x:c>
      <x:c r="E8" s="31"/>
      <x:c r="F8" s="31"/>
    </x:row>
    <x:row r="9">
      <x:c r="A9" s="31" t="str">
        <x:v>Current savings</x:v>
      </x:c>
      <x:c r="B9" s="33" t="n">
        <x:v>15000000</x:v>
      </x:c>
      <x:c r="C9" s="31" t="str">
        <x:v>VND</x:v>
      </x:c>
      <x:c r="D9" s="31" t="str">
        <x:v>FinancialProfile</x:v>
      </x:c>
      <x:c r="E9" s="31"/>
      <x:c r="F9" s="31"/>
    </x:row>
    <x:row r="10">
      <x:c r="A10" s="31" t="str">
        <x:v>Emergency fund reserved</x:v>
      </x:c>
      <x:c r="B10" s="33" t="n">
        <x:v>5000000</x:v>
      </x:c>
      <x:c r="C10" s="31" t="str">
        <x:v>VND</x:v>
      </x:c>
      <x:c r="D10" s="31" t="str">
        <x:v>FinancialProfile</x:v>
      </x:c>
      <x:c r="E10" s="31"/>
      <x:c r="F10" s="31"/>
    </x:row>
    <x:row r="11">
      <x:c r="A11" s="31" t="str">
        <x:v>Goal amount</x:v>
      </x:c>
      <x:c r="B11" s="33" t="n">
        <x:v>100000000</x:v>
      </x:c>
      <x:c r="C11" s="31" t="str">
        <x:v>VND</x:v>
      </x:c>
      <x:c r="D11" s="31" t="str">
        <x:v>FinancialProfile</x:v>
      </x:c>
      <x:c r="E11" s="31"/>
      <x:c r="F11" s="31"/>
    </x:row>
    <x:row r="12">
      <x:c r="A12" s="31" t="str">
        <x:v>Goal horizon</x:v>
      </x:c>
      <x:c r="B12" s="33" t="n">
        <x:v>36</x:v>
      </x:c>
      <x:c r="C12" s="31" t="str">
        <x:v>months</x:v>
      </x:c>
      <x:c r="D12" s="31" t="str">
        <x:v>FinancialProfile</x:v>
      </x:c>
      <x:c r="E12" s="31"/>
      <x:c r="F12" s="31"/>
    </x:row>
    <x:row r="13">
      <x:c r="A13" s="31" t="str">
        <x:v>Annual return rate</x:v>
      </x:c>
      <x:c r="B13" s="34" t="n">
        <x:v>0.06</x:v>
      </x:c>
      <x:c r="C13" s="31" t="str">
        <x:v>decimal/year</x:v>
      </x:c>
      <x:c r="D13" s="31" t="str">
        <x:v>Assumption</x:v>
      </x:c>
      <x:c r="E13" s="31"/>
      <x:c r="F13" s="31"/>
    </x:row>
    <x:row r="14">
      <x:c r="A14" s="31" t="str">
        <x:v>Monthly contribution</x:v>
      </x:c>
      <x:c r="B14" s="33" t="n">
        <x:v>3000000</x:v>
      </x:c>
      <x:c r="C14" s="31" t="str">
        <x:v>VND/month</x:v>
      </x:c>
      <x:c r="D14" s="31" t="str">
        <x:v>Assumption/default surplus</x:v>
      </x:c>
      <x:c r="E14" s="31"/>
      <x:c r="F14" s="31"/>
    </x:row>
    <x:row r="15">
      <x:c r="A15" s="31" t="str">
        <x:v>Annual inflation rate</x:v>
      </x:c>
      <x:c r="B15" s="34" t="n">
        <x:v>0</x:v>
      </x:c>
      <x:c r="C15" s="31" t="str">
        <x:v>decimal/year</x:v>
      </x:c>
      <x:c r="D15" s="31" t="str">
        <x:v>Assumption</x:v>
      </x:c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2" t="str">
        <x:v>Metric</x:v>
      </x:c>
      <x:c r="B17" s="32" t="str">
        <x:v>Calculation</x:v>
      </x:c>
      <x:c r="C17" s="32" t="str">
        <x:v>Excel Result</x:v>
      </x:c>
      <x:c r="D17" s="32" t="str">
        <x:v>Python Result</x:v>
      </x:c>
      <x:c r="E17" s="32" t="str">
        <x:v>Difference</x:v>
      </x:c>
      <x:c r="F17" s="32" t="str">
        <x:v>Status</x:v>
      </x:c>
    </x:row>
    <x:row r="18">
      <x:c r="A18" s="31" t="str">
        <x:v>Total monthly income</x:v>
      </x:c>
      <x:c r="B18" s="31" t="str">
        <x:v>Primary income + Other income</x:v>
      </x:c>
      <x:c r="C18" s="35" t="n">
        <x:f>B4+B5</x:f>
        <x:v>10000000</x:v>
      </x:c>
      <x:c r="D18" s="36" t="n">
        <x:v>10000000</x:v>
      </x:c>
      <x:c r="E18" s="35" t="n">
        <x:f>C18-D18</x:f>
        <x:v>0</x:v>
      </x:c>
      <x:c r="F18" s="31" t="str">
        <x:f>IF(ABS(E18)&lt;0.01,"PASS","FAIL")</x:f>
        <x:v>PASS</x:v>
      </x:c>
    </x:row>
    <x:row r="19">
      <x:c r="A19" s="31" t="str">
        <x:v>Total monthly outflow</x:v>
      </x:c>
      <x:c r="B19" s="31" t="str">
        <x:v>Essential + Discretionary + Debt</x:v>
      </x:c>
      <x:c r="C19" s="35" t="n">
        <x:f>SUM(B6:B8)</x:f>
        <x:v>7000000</x:v>
      </x:c>
      <x:c r="D19" s="36" t="n">
        <x:v>7000000</x:v>
      </x:c>
      <x:c r="E19" s="35" t="n">
        <x:f>C19-D19</x:f>
        <x:v>0</x:v>
      </x:c>
      <x:c r="F19" s="31" t="str">
        <x:f>IF(ABS(E19)&lt;0.01,"PASS","FAIL")</x:f>
        <x:v>PASS</x:v>
      </x:c>
    </x:row>
    <x:row r="20">
      <x:c r="A20" s="31" t="str">
        <x:v>Monthly surplus</x:v>
      </x:c>
      <x:c r="B20" s="31" t="str">
        <x:v>Total income - Total outflow</x:v>
      </x:c>
      <x:c r="C20" s="35" t="n">
        <x:f>C18-C19</x:f>
        <x:v>3000000</x:v>
      </x:c>
      <x:c r="D20" s="36" t="n">
        <x:v>3000000</x:v>
      </x:c>
      <x:c r="E20" s="35" t="n">
        <x:f>C20-D20</x:f>
        <x:v>0</x:v>
      </x:c>
      <x:c r="F20" s="31" t="str">
        <x:f>IF(ABS(E20)&lt;0.01,"PASS","FAIL")</x:f>
        <x:v>PASS</x:v>
      </x:c>
    </x:row>
    <x:row r="21">
      <x:c r="A21" s="31" t="str">
        <x:v>Savings rate</x:v>
      </x:c>
      <x:c r="B21" s="31" t="str">
        <x:v>Monthly surplus / Total income</x:v>
      </x:c>
      <x:c r="C21" s="37" t="n">
        <x:f>IF(C18=0,NA(),C20/C18)</x:f>
        <x:v>0.3</x:v>
      </x:c>
      <x:c r="D21" s="34" t="n">
        <x:v>0.3</x:v>
      </x:c>
      <x:c r="E21" s="38" t="n">
        <x:f>C21-D21</x:f>
        <x:v>0</x:v>
      </x:c>
      <x:c r="F21" s="31" t="str">
        <x:f>IF(ABS(E21)&lt;0.01,"PASS","FAIL")</x:f>
        <x:v>PASS</x:v>
      </x:c>
    </x:row>
    <x:row r="22">
      <x:c r="A22" s="31" t="str">
        <x:v>Initial available amount</x:v>
      </x:c>
      <x:c r="B22" s="31" t="str">
        <x:v>MAX(Current savings - Emergency reserve, 0)</x:v>
      </x:c>
      <x:c r="C22" s="35" t="n">
        <x:f>MAX(B9-B10,0)</x:f>
        <x:v>10000000</x:v>
      </x:c>
      <x:c r="D22" s="36" t="n">
        <x:v>10000000</x:v>
      </x:c>
      <x:c r="E22" s="35" t="n">
        <x:f>C22-D22</x:f>
        <x:v>0</x:v>
      </x:c>
      <x:c r="F22" s="31" t="str">
        <x:f>IF(ABS(E22)&lt;0.01,"PASS","FAIL")</x:f>
        <x:v>PASS</x:v>
      </x:c>
    </x:row>
    <x:row r="23">
      <x:c r="A23" s="31" t="str">
        <x:v>Monthly return rate</x:v>
      </x:c>
      <x:c r="B23" s="31" t="str">
        <x:v>(1 + annual return)^(1/12) - 1</x:v>
      </x:c>
      <x:c r="C23" s="39" t="n">
        <x:f>IF(B13=0,0,(1+B13)^(1/12)-1)</x:f>
        <x:v>0.004867550565343048</x:v>
      </x:c>
      <x:c r="D23" s="40" t="n">
        <x:v>0.004867550565343048</x:v>
      </x:c>
      <x:c r="E23" s="38" t="n">
        <x:f>C23-D23</x:f>
        <x:v>0</x:v>
      </x:c>
      <x:c r="F23" s="31" t="str">
        <x:f>IF(ABS(E23)&lt;0.01,"PASS","FAIL")</x:f>
        <x:v>PASS</x:v>
      </x:c>
    </x:row>
    <x:row r="24">
      <x:c r="A24" s="31" t="str">
        <x:v>Monthly inflation rate</x:v>
      </x:c>
      <x:c r="B24" s="31" t="str">
        <x:v>(1 + annual inflation)^(1/12) - 1</x:v>
      </x:c>
      <x:c r="C24" s="39" t="n">
        <x:f>IF(B15=0,0,(1+B15)^(1/12)-1)</x:f>
        <x:v>0</x:v>
      </x:c>
      <x:c r="D24" s="40" t="n">
        <x:v>0</x:v>
      </x:c>
      <x:c r="E24" s="38" t="n">
        <x:f>C24-D24</x:f>
        <x:v>0</x:v>
      </x:c>
      <x:c r="F24" s="31" t="str">
        <x:f>IF(ABS(E24)&lt;0.01,"PASS","FAIL")</x:f>
        <x:v>PASS</x:v>
      </x:c>
    </x:row>
    <x:row r="25">
      <x:c r="A25" s="31" t="str">
        <x:v>Adjusted goal amount</x:v>
      </x:c>
      <x:c r="B25" s="31" t="str">
        <x:v>Goal × (1 + monthly inflation)^n</x:v>
      </x:c>
      <x:c r="C25" s="35" t="n">
        <x:f>B11*(1+C24)^B12</x:f>
        <x:v>100000000</x:v>
      </x:c>
      <x:c r="D25" s="36" t="n">
        <x:v>100000000</x:v>
      </x:c>
      <x:c r="E25" s="35" t="n">
        <x:f>C25-D25</x:f>
        <x:v>0</x:v>
      </x:c>
      <x:c r="F25" s="31" t="str">
        <x:f>IF(ABS(E25)&lt;0.01,"PASS","FAIL")</x:f>
        <x:v>PASS</x:v>
      </x:c>
    </x:row>
    <x:row r="26">
      <x:c r="A26" s="31" t="str">
        <x:v>FV initial</x:v>
      </x:c>
      <x:c r="B26" s="31" t="str">
        <x:v>PV × (1 + monthly return)^n</x:v>
      </x:c>
      <x:c r="C26" s="35" t="n">
        <x:f>C22*(1+C23)^B12</x:f>
        <x:v>11910160.000000022</x:v>
      </x:c>
      <x:c r="D26" s="36" t="n">
        <x:v>11910160.000000006</x:v>
      </x:c>
      <x:c r="E26" s="35" t="n">
        <x:f>C26-D26</x:f>
        <x:v>1.6763806343078613e-8</x:v>
      </x:c>
      <x:c r="F26" s="31" t="str">
        <x:f>IF(ABS(E26)&lt;0.01,"PASS","FAIL")</x:f>
        <x:v>PASS</x:v>
      </x:c>
    </x:row>
    <x:row r="27">
      <x:c r="A27" s="31" t="str">
        <x:v>FV contribution</x:v>
      </x:c>
      <x:c r="B27" s="31" t="str">
        <x:v>PMT annuity; PMT×n when return=0</x:v>
      </x:c>
      <x:c r="C27" s="35" t="n">
        <x:f>IF(C23=0,B14*B12,B14*(((1+C23)^B12-1)/C23))</x:f>
        <x:v>117728206.88912976</x:v>
      </x:c>
      <x:c r="D27" s="36" t="n">
        <x:v>117728206.88912866</x:v>
      </x:c>
      <x:c r="E27" s="35" t="n">
        <x:f>C27-D27</x:f>
        <x:v>0.0000011026859283447266</x:v>
      </x:c>
      <x:c r="F27" s="31" t="str">
        <x:f>IF(ABS(E27)&lt;0.01,"PASS","FAIL")</x:f>
        <x:v>PASS</x:v>
      </x:c>
    </x:row>
    <x:row r="28">
      <x:c r="A28" s="31" t="str">
        <x:v>FV total</x:v>
      </x:c>
      <x:c r="B28" s="31" t="str">
        <x:v>FV initial + FV contribution</x:v>
      </x:c>
      <x:c r="C28" s="35" t="n">
        <x:f>C26+C27</x:f>
        <x:v>129638366.88912979</x:v>
      </x:c>
      <x:c r="D28" s="36" t="n">
        <x:v>129638366.88912866</x:v>
      </x:c>
      <x:c r="E28" s="35" t="n">
        <x:f>C28-D28</x:f>
        <x:v>0.0000011324882507324219</x:v>
      </x:c>
      <x:c r="F28" s="31" t="str">
        <x:f>IF(ABS(E28)&lt;0.01,"PASS","FAIL")</x:f>
        <x:v>PASS</x:v>
      </x:c>
    </x:row>
    <x:row r="29">
      <x:c r="A29" s="31" t="str">
        <x:v>Goal gap</x:v>
      </x:c>
      <x:c r="B29" s="31" t="str">
        <x:v>Adjusted goal - FV total</x:v>
      </x:c>
      <x:c r="C29" s="35" t="n">
        <x:f>C25-C28</x:f>
        <x:v>-29638366.889129788</x:v>
      </x:c>
      <x:c r="D29" s="36" t="n">
        <x:v>-29638366.889128655</x:v>
      </x:c>
      <x:c r="E29" s="35" t="n">
        <x:f>C29-D29</x:f>
        <x:v>-0.0000011324882507324219</x:v>
      </x:c>
      <x:c r="F29" s="31" t="str">
        <x:f>IF(ABS(E29)&lt;0.01,"PASS","FAIL")</x:f>
        <x:v>PASS</x:v>
      </x:c>
    </x:row>
    <x:row r="30">
      <x:c r="A30" s="31" t="str">
        <x:v>Required monthly contribution</x:v>
      </x:c>
      <x:c r="B30" s="31" t="str">
        <x:v>Solve PMT needed to hit adjusted goal</x:v>
      </x:c>
      <x:c r="C30" s="35" t="n">
        <x:f>IF(C23=0,MAX(0,(C25-C26)/B12),MAX(0,(C25-C26)/(((1+C23)^B12-1)/C23)))</x:f>
        <x:v>2244742.5895892144</x:v>
      </x:c>
      <x:c r="D30" s="36" t="n">
        <x:v>2244742.5895892363</x:v>
      </x:c>
      <x:c r="E30" s="35" t="n">
        <x:f>C30-D30</x:f>
        <x:v>-2.1886080503463745e-8</x:v>
      </x:c>
      <x:c r="F30" s="31" t="str">
        <x:f>IF(ABS(E30)&lt;0.01,"PASS","FAIL")</x:f>
        <x:v>PASS</x:v>
      </x:c>
    </x:row>
    <x:row r="31">
      <x:c r="A31" s="31" t="str">
        <x:v>Contribution affordability gap</x:v>
      </x:c>
      <x:c r="B31" s="31" t="str">
        <x:v>MAX(Current PMT - MAX(Surplus,0), 0)</x:v>
      </x:c>
      <x:c r="C31" s="35" t="n">
        <x:f>MAX(B14-MAX(C20,0),0)</x:f>
        <x:v>0</x:v>
      </x:c>
      <x:c r="D31" s="36" t="n">
        <x:v>0</x:v>
      </x:c>
      <x:c r="E31" s="35" t="n">
        <x:f>C31-D31</x:f>
        <x:v>0</x:v>
      </x:c>
      <x:c r="F31" s="31" t="str">
        <x:f>IF(ABS(E31)&lt;0.01,"PASS","FAIL")</x:f>
        <x:v>PASS</x:v>
      </x:c>
    </x:row>
    <x:row r="32">
      <x:c r="A32" s="31" t="str">
        <x:v>Required contribution gap</x:v>
      </x:c>
      <x:c r="B32" s="31" t="str">
        <x:v>MAX(Required PMT - MAX(Surplus,0), 0)</x:v>
      </x:c>
      <x:c r="C32" s="35" t="n">
        <x:f>MAX(C30-MAX(C20,0),0)</x:f>
        <x:v>0</x:v>
      </x:c>
      <x:c r="D32" s="36" t="n">
        <x:v>0</x:v>
      </x:c>
      <x:c r="E32" s="35" t="n">
        <x:f>C32-D32</x:f>
        <x:v>0</x:v>
      </x:c>
      <x:c r="F32" s="31" t="str">
        <x:f>IF(ABS(E32)&lt;0.01,"PASS","FAIL")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</x:cols>
  <x:sheetData>
    <x:row r="1">
      <x:c r="A1" s="30" t="str">
        <x:v>Case_1_Month - Independent Excel Check</x:v>
      </x:c>
      <x:c r="B1" s="30"/>
      <x:c r="C1" s="30"/>
      <x:c r="D1" s="30"/>
      <x:c r="E1" s="30"/>
      <x:c r="F1" s="30"/>
    </x:row>
    <x:row r="2">
      <x:c r="A2" s="31"/>
      <x:c r="B2" s="31"/>
      <x:c r="C2" s="31"/>
      <x:c r="D2" s="31"/>
      <x:c r="E2" s="31"/>
      <x:c r="F2" s="31"/>
    </x:row>
    <x:row r="3">
      <x:c r="A3" s="32" t="str">
        <x:v>Input</x:v>
      </x:c>
      <x:c r="B3" s="32" t="str">
        <x:v>Value</x:v>
      </x:c>
      <x:c r="C3" s="32" t="str">
        <x:v>Unit</x:v>
      </x:c>
      <x:c r="D3" s="32" t="str">
        <x:v>Note</x:v>
      </x:c>
      <x:c r="E3" s="31"/>
      <x:c r="F3" s="31"/>
    </x:row>
    <x:row r="4">
      <x:c r="A4" s="31" t="str">
        <x:v>Monthly primary income</x:v>
      </x:c>
      <x:c r="B4" s="33" t="n">
        <x:v>8000000</x:v>
      </x:c>
      <x:c r="C4" s="31" t="str">
        <x:v>VND/month</x:v>
      </x:c>
      <x:c r="D4" s="31" t="str">
        <x:v>FinancialProfile</x:v>
      </x:c>
      <x:c r="E4" s="31"/>
      <x:c r="F4" s="31"/>
    </x:row>
    <x:row r="5">
      <x:c r="A5" s="31" t="str">
        <x:v>Monthly other income</x:v>
      </x:c>
      <x:c r="B5" s="33" t="n">
        <x:v>2000000</x:v>
      </x:c>
      <x:c r="C5" s="31" t="str">
        <x:v>VND/month</x:v>
      </x:c>
      <x:c r="D5" s="31" t="str">
        <x:v>FinancialProfile</x:v>
      </x:c>
      <x:c r="E5" s="31"/>
      <x:c r="F5" s="31"/>
    </x:row>
    <x:row r="6">
      <x:c r="A6" s="31" t="str">
        <x:v>Monthly essential expense</x:v>
      </x:c>
      <x:c r="B6" s="33" t="n">
        <x:v>5000000</x:v>
      </x:c>
      <x:c r="C6" s="31" t="str">
        <x:v>VND/month</x:v>
      </x:c>
      <x:c r="D6" s="31" t="str">
        <x:v>FinancialProfile</x:v>
      </x:c>
      <x:c r="E6" s="31"/>
      <x:c r="F6" s="31"/>
    </x:row>
    <x:row r="7">
      <x:c r="A7" s="31" t="str">
        <x:v>Monthly discretionary expense</x:v>
      </x:c>
      <x:c r="B7" s="33" t="n">
        <x:v>2000000</x:v>
      </x:c>
      <x:c r="C7" s="31" t="str">
        <x:v>VND/month</x:v>
      </x:c>
      <x:c r="D7" s="31" t="str">
        <x:v>FinancialProfile</x:v>
      </x:c>
      <x:c r="E7" s="31"/>
      <x:c r="F7" s="31"/>
    </x:row>
    <x:row r="8">
      <x:c r="A8" s="31" t="str">
        <x:v>Monthly debt payment</x:v>
      </x:c>
      <x:c r="B8" s="33" t="n">
        <x:v>0</x:v>
      </x:c>
      <x:c r="C8" s="31" t="str">
        <x:v>VND/month</x:v>
      </x:c>
      <x:c r="D8" s="31" t="str">
        <x:v>FinancialProfile</x:v>
      </x:c>
      <x:c r="E8" s="31"/>
      <x:c r="F8" s="31"/>
    </x:row>
    <x:row r="9">
      <x:c r="A9" s="31" t="str">
        <x:v>Current savings</x:v>
      </x:c>
      <x:c r="B9" s="33" t="n">
        <x:v>15000000</x:v>
      </x:c>
      <x:c r="C9" s="31" t="str">
        <x:v>VND</x:v>
      </x:c>
      <x:c r="D9" s="31" t="str">
        <x:v>FinancialProfile</x:v>
      </x:c>
      <x:c r="E9" s="31"/>
      <x:c r="F9" s="31"/>
    </x:row>
    <x:row r="10">
      <x:c r="A10" s="31" t="str">
        <x:v>Emergency fund reserved</x:v>
      </x:c>
      <x:c r="B10" s="33" t="n">
        <x:v>5000000</x:v>
      </x:c>
      <x:c r="C10" s="31" t="str">
        <x:v>VND</x:v>
      </x:c>
      <x:c r="D10" s="31" t="str">
        <x:v>FinancialProfile</x:v>
      </x:c>
      <x:c r="E10" s="31"/>
      <x:c r="F10" s="31"/>
    </x:row>
    <x:row r="11">
      <x:c r="A11" s="31" t="str">
        <x:v>Goal amount</x:v>
      </x:c>
      <x:c r="B11" s="33" t="n">
        <x:v>20000000</x:v>
      </x:c>
      <x:c r="C11" s="31" t="str">
        <x:v>VND</x:v>
      </x:c>
      <x:c r="D11" s="31" t="str">
        <x:v>FinancialProfile</x:v>
      </x:c>
      <x:c r="E11" s="31"/>
      <x:c r="F11" s="31"/>
    </x:row>
    <x:row r="12">
      <x:c r="A12" s="31" t="str">
        <x:v>Goal horizon</x:v>
      </x:c>
      <x:c r="B12" s="33" t="n">
        <x:v>1</x:v>
      </x:c>
      <x:c r="C12" s="31" t="str">
        <x:v>months</x:v>
      </x:c>
      <x:c r="D12" s="31" t="str">
        <x:v>FinancialProfile</x:v>
      </x:c>
      <x:c r="E12" s="31"/>
      <x:c r="F12" s="31"/>
    </x:row>
    <x:row r="13">
      <x:c r="A13" s="31" t="str">
        <x:v>Annual return rate</x:v>
      </x:c>
      <x:c r="B13" s="34" t="n">
        <x:v>0</x:v>
      </x:c>
      <x:c r="C13" s="31" t="str">
        <x:v>decimal/year</x:v>
      </x:c>
      <x:c r="D13" s="31" t="str">
        <x:v>Assumption</x:v>
      </x:c>
      <x:c r="E13" s="31"/>
      <x:c r="F13" s="31"/>
    </x:row>
    <x:row r="14">
      <x:c r="A14" s="31" t="str">
        <x:v>Monthly contribution</x:v>
      </x:c>
      <x:c r="B14" s="33" t="n">
        <x:v>3000000</x:v>
      </x:c>
      <x:c r="C14" s="31" t="str">
        <x:v>VND/month</x:v>
      </x:c>
      <x:c r="D14" s="31" t="str">
        <x:v>Assumption/default surplus</x:v>
      </x:c>
      <x:c r="E14" s="31"/>
      <x:c r="F14" s="31"/>
    </x:row>
    <x:row r="15">
      <x:c r="A15" s="31" t="str">
        <x:v>Annual inflation rate</x:v>
      </x:c>
      <x:c r="B15" s="34" t="n">
        <x:v>0</x:v>
      </x:c>
      <x:c r="C15" s="31" t="str">
        <x:v>decimal/year</x:v>
      </x:c>
      <x:c r="D15" s="31" t="str">
        <x:v>Assumption</x:v>
      </x:c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2" t="str">
        <x:v>Metric</x:v>
      </x:c>
      <x:c r="B17" s="32" t="str">
        <x:v>Calculation</x:v>
      </x:c>
      <x:c r="C17" s="32" t="str">
        <x:v>Excel Result</x:v>
      </x:c>
      <x:c r="D17" s="32" t="str">
        <x:v>Python Result</x:v>
      </x:c>
      <x:c r="E17" s="32" t="str">
        <x:v>Difference</x:v>
      </x:c>
      <x:c r="F17" s="32" t="str">
        <x:v>Status</x:v>
      </x:c>
    </x:row>
    <x:row r="18">
      <x:c r="A18" s="31" t="str">
        <x:v>Total monthly income</x:v>
      </x:c>
      <x:c r="B18" s="31" t="str">
        <x:v>Primary income + Other income</x:v>
      </x:c>
      <x:c r="C18" s="35" t="n">
        <x:f>B4+B5</x:f>
        <x:v>10000000</x:v>
      </x:c>
      <x:c r="D18" s="36" t="n">
        <x:v>10000000</x:v>
      </x:c>
      <x:c r="E18" s="35" t="n">
        <x:f>C18-D18</x:f>
        <x:v>0</x:v>
      </x:c>
      <x:c r="F18" s="31" t="str">
        <x:f>IF(ABS(E18)&lt;0.01,"PASS","FAIL")</x:f>
        <x:v>PASS</x:v>
      </x:c>
    </x:row>
    <x:row r="19">
      <x:c r="A19" s="31" t="str">
        <x:v>Total monthly outflow</x:v>
      </x:c>
      <x:c r="B19" s="31" t="str">
        <x:v>Essential + Discretionary + Debt</x:v>
      </x:c>
      <x:c r="C19" s="35" t="n">
        <x:f>SUM(B6:B8)</x:f>
        <x:v>7000000</x:v>
      </x:c>
      <x:c r="D19" s="36" t="n">
        <x:v>7000000</x:v>
      </x:c>
      <x:c r="E19" s="35" t="n">
        <x:f>C19-D19</x:f>
        <x:v>0</x:v>
      </x:c>
      <x:c r="F19" s="31" t="str">
        <x:f>IF(ABS(E19)&lt;0.01,"PASS","FAIL")</x:f>
        <x:v>PASS</x:v>
      </x:c>
    </x:row>
    <x:row r="20">
      <x:c r="A20" s="31" t="str">
        <x:v>Monthly surplus</x:v>
      </x:c>
      <x:c r="B20" s="31" t="str">
        <x:v>Total income - Total outflow</x:v>
      </x:c>
      <x:c r="C20" s="35" t="n">
        <x:f>C18-C19</x:f>
        <x:v>3000000</x:v>
      </x:c>
      <x:c r="D20" s="36" t="n">
        <x:v>3000000</x:v>
      </x:c>
      <x:c r="E20" s="35" t="n">
        <x:f>C20-D20</x:f>
        <x:v>0</x:v>
      </x:c>
      <x:c r="F20" s="31" t="str">
        <x:f>IF(ABS(E20)&lt;0.01,"PASS","FAIL")</x:f>
        <x:v>PASS</x:v>
      </x:c>
    </x:row>
    <x:row r="21">
      <x:c r="A21" s="31" t="str">
        <x:v>Savings rate</x:v>
      </x:c>
      <x:c r="B21" s="31" t="str">
        <x:v>Monthly surplus / Total income</x:v>
      </x:c>
      <x:c r="C21" s="37" t="n">
        <x:f>IF(C18=0,NA(),C20/C18)</x:f>
        <x:v>0.3</x:v>
      </x:c>
      <x:c r="D21" s="34" t="n">
        <x:v>0.3</x:v>
      </x:c>
      <x:c r="E21" s="38" t="n">
        <x:f>C21-D21</x:f>
        <x:v>0</x:v>
      </x:c>
      <x:c r="F21" s="31" t="str">
        <x:f>IF(ABS(E21)&lt;0.01,"PASS","FAIL")</x:f>
        <x:v>PASS</x:v>
      </x:c>
    </x:row>
    <x:row r="22">
      <x:c r="A22" s="31" t="str">
        <x:v>Initial available amount</x:v>
      </x:c>
      <x:c r="B22" s="31" t="str">
        <x:v>MAX(Current savings - Emergency reserve, 0)</x:v>
      </x:c>
      <x:c r="C22" s="35" t="n">
        <x:f>MAX(B9-B10,0)</x:f>
        <x:v>10000000</x:v>
      </x:c>
      <x:c r="D22" s="36" t="n">
        <x:v>10000000</x:v>
      </x:c>
      <x:c r="E22" s="35" t="n">
        <x:f>C22-D22</x:f>
        <x:v>0</x:v>
      </x:c>
      <x:c r="F22" s="31" t="str">
        <x:f>IF(ABS(E22)&lt;0.01,"PASS","FAIL")</x:f>
        <x:v>PASS</x:v>
      </x:c>
    </x:row>
    <x:row r="23">
      <x:c r="A23" s="31" t="str">
        <x:v>Monthly return rate</x:v>
      </x:c>
      <x:c r="B23" s="31" t="str">
        <x:v>(1 + annual return)^(1/12) - 1</x:v>
      </x:c>
      <x:c r="C23" s="39" t="n">
        <x:f>IF(B13=0,0,(1+B13)^(1/12)-1)</x:f>
        <x:v>0</x:v>
      </x:c>
      <x:c r="D23" s="40" t="n">
        <x:v>0</x:v>
      </x:c>
      <x:c r="E23" s="38" t="n">
        <x:f>C23-D23</x:f>
        <x:v>0</x:v>
      </x:c>
      <x:c r="F23" s="31" t="str">
        <x:f>IF(ABS(E23)&lt;0.01,"PASS","FAIL")</x:f>
        <x:v>PASS</x:v>
      </x:c>
    </x:row>
    <x:row r="24">
      <x:c r="A24" s="31" t="str">
        <x:v>Monthly inflation rate</x:v>
      </x:c>
      <x:c r="B24" s="31" t="str">
        <x:v>(1 + annual inflation)^(1/12) - 1</x:v>
      </x:c>
      <x:c r="C24" s="39" t="n">
        <x:f>IF(B15=0,0,(1+B15)^(1/12)-1)</x:f>
        <x:v>0</x:v>
      </x:c>
      <x:c r="D24" s="40" t="n">
        <x:v>0</x:v>
      </x:c>
      <x:c r="E24" s="38" t="n">
        <x:f>C24-D24</x:f>
        <x:v>0</x:v>
      </x:c>
      <x:c r="F24" s="31" t="str">
        <x:f>IF(ABS(E24)&lt;0.01,"PASS","FAIL")</x:f>
        <x:v>PASS</x:v>
      </x:c>
    </x:row>
    <x:row r="25">
      <x:c r="A25" s="31" t="str">
        <x:v>Adjusted goal amount</x:v>
      </x:c>
      <x:c r="B25" s="31" t="str">
        <x:v>Goal × (1 + monthly inflation)^n</x:v>
      </x:c>
      <x:c r="C25" s="35" t="n">
        <x:f>B11*(1+C24)^B12</x:f>
        <x:v>20000000</x:v>
      </x:c>
      <x:c r="D25" s="36" t="n">
        <x:v>20000000</x:v>
      </x:c>
      <x:c r="E25" s="35" t="n">
        <x:f>C25-D25</x:f>
        <x:v>0</x:v>
      </x:c>
      <x:c r="F25" s="31" t="str">
        <x:f>IF(ABS(E25)&lt;0.01,"PASS","FAIL")</x:f>
        <x:v>PASS</x:v>
      </x:c>
    </x:row>
    <x:row r="26">
      <x:c r="A26" s="31" t="str">
        <x:v>FV initial</x:v>
      </x:c>
      <x:c r="B26" s="31" t="str">
        <x:v>PV × (1 + monthly return)^n</x:v>
      </x:c>
      <x:c r="C26" s="35" t="n">
        <x:f>C22*(1+C23)^B12</x:f>
        <x:v>10000000</x:v>
      </x:c>
      <x:c r="D26" s="36" t="n">
        <x:v>10000000</x:v>
      </x:c>
      <x:c r="E26" s="35" t="n">
        <x:f>C26-D26</x:f>
        <x:v>0</x:v>
      </x:c>
      <x:c r="F26" s="31" t="str">
        <x:f>IF(ABS(E26)&lt;0.01,"PASS","FAIL")</x:f>
        <x:v>PASS</x:v>
      </x:c>
    </x:row>
    <x:row r="27">
      <x:c r="A27" s="31" t="str">
        <x:v>FV contribution</x:v>
      </x:c>
      <x:c r="B27" s="31" t="str">
        <x:v>PMT annuity; PMT×n when return=0</x:v>
      </x:c>
      <x:c r="C27" s="35" t="n">
        <x:f>IF(C23=0,B14*B12,B14*(((1+C23)^B12-1)/C23))</x:f>
        <x:v>3000000</x:v>
      </x:c>
      <x:c r="D27" s="36" t="n">
        <x:v>3000000</x:v>
      </x:c>
      <x:c r="E27" s="35" t="n">
        <x:f>C27-D27</x:f>
        <x:v>0</x:v>
      </x:c>
      <x:c r="F27" s="31" t="str">
        <x:f>IF(ABS(E27)&lt;0.01,"PASS","FAIL")</x:f>
        <x:v>PASS</x:v>
      </x:c>
    </x:row>
    <x:row r="28">
      <x:c r="A28" s="31" t="str">
        <x:v>FV total</x:v>
      </x:c>
      <x:c r="B28" s="31" t="str">
        <x:v>FV initial + FV contribution</x:v>
      </x:c>
      <x:c r="C28" s="35" t="n">
        <x:f>C26+C27</x:f>
        <x:v>13000000</x:v>
      </x:c>
      <x:c r="D28" s="36" t="n">
        <x:v>13000000</x:v>
      </x:c>
      <x:c r="E28" s="35" t="n">
        <x:f>C28-D28</x:f>
        <x:v>0</x:v>
      </x:c>
      <x:c r="F28" s="31" t="str">
        <x:f>IF(ABS(E28)&lt;0.01,"PASS","FAIL")</x:f>
        <x:v>PASS</x:v>
      </x:c>
    </x:row>
    <x:row r="29">
      <x:c r="A29" s="31" t="str">
        <x:v>Goal gap</x:v>
      </x:c>
      <x:c r="B29" s="31" t="str">
        <x:v>Adjusted goal - FV total</x:v>
      </x:c>
      <x:c r="C29" s="35" t="n">
        <x:f>C25-C28</x:f>
        <x:v>7000000</x:v>
      </x:c>
      <x:c r="D29" s="36" t="n">
        <x:v>7000000</x:v>
      </x:c>
      <x:c r="E29" s="35" t="n">
        <x:f>C29-D29</x:f>
        <x:v>0</x:v>
      </x:c>
      <x:c r="F29" s="31" t="str">
        <x:f>IF(ABS(E29)&lt;0.01,"PASS","FAIL")</x:f>
        <x:v>PASS</x:v>
      </x:c>
    </x:row>
    <x:row r="30">
      <x:c r="A30" s="31" t="str">
        <x:v>Required monthly contribution</x:v>
      </x:c>
      <x:c r="B30" s="31" t="str">
        <x:v>Solve PMT needed to hit adjusted goal</x:v>
      </x:c>
      <x:c r="C30" s="35" t="n">
        <x:f>IF(C23=0,MAX(0,(C25-C26)/B12),MAX(0,(C25-C26)/(((1+C23)^B12-1)/C23)))</x:f>
        <x:v>10000000</x:v>
      </x:c>
      <x:c r="D30" s="36" t="n">
        <x:v>10000000</x:v>
      </x:c>
      <x:c r="E30" s="35" t="n">
        <x:f>C30-D30</x:f>
        <x:v>0</x:v>
      </x:c>
      <x:c r="F30" s="31" t="str">
        <x:f>IF(ABS(E30)&lt;0.01,"PASS","FAIL")</x:f>
        <x:v>PASS</x:v>
      </x:c>
    </x:row>
    <x:row r="31">
      <x:c r="A31" s="31" t="str">
        <x:v>Contribution affordability gap</x:v>
      </x:c>
      <x:c r="B31" s="31" t="str">
        <x:v>MAX(Current PMT - MAX(Surplus,0), 0)</x:v>
      </x:c>
      <x:c r="C31" s="35" t="n">
        <x:f>MAX(B14-MAX(C20,0),0)</x:f>
        <x:v>0</x:v>
      </x:c>
      <x:c r="D31" s="36" t="n">
        <x:v>0</x:v>
      </x:c>
      <x:c r="E31" s="35" t="n">
        <x:f>C31-D31</x:f>
        <x:v>0</x:v>
      </x:c>
      <x:c r="F31" s="31" t="str">
        <x:f>IF(ABS(E31)&lt;0.01,"PASS","FAIL")</x:f>
        <x:v>PASS</x:v>
      </x:c>
    </x:row>
    <x:row r="32">
      <x:c r="A32" s="31" t="str">
        <x:v>Required contribution gap</x:v>
      </x:c>
      <x:c r="B32" s="31" t="str">
        <x:v>MAX(Required PMT - MAX(Surplus,0), 0)</x:v>
      </x:c>
      <x:c r="C32" s="35" t="n">
        <x:f>MAX(C30-MAX(C20,0),0)</x:f>
        <x:v>7000000</x:v>
      </x:c>
      <x:c r="D32" s="36" t="n">
        <x:v>7000000</x:v>
      </x:c>
      <x:c r="E32" s="35" t="n">
        <x:f>C32-D32</x:f>
        <x:v>0</x:v>
      </x:c>
      <x:c r="F32" s="31" t="str">
        <x:f>IF(ABS(E32)&lt;0.01,"PASS","FAIL")</x:f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</x:cols>
  <x:sheetData>
    <x:row r="1">
      <x:c r="A1" s="30" t="str">
        <x:v>Case_Inflation_4pct - Independent Excel Check</x:v>
      </x:c>
      <x:c r="B1" s="30"/>
      <x:c r="C1" s="30"/>
      <x:c r="D1" s="30"/>
      <x:c r="E1" s="30"/>
      <x:c r="F1" s="30"/>
    </x:row>
    <x:row r="2">
      <x:c r="A2" s="31"/>
      <x:c r="B2" s="31"/>
      <x:c r="C2" s="31"/>
      <x:c r="D2" s="31"/>
      <x:c r="E2" s="31"/>
      <x:c r="F2" s="31"/>
    </x:row>
    <x:row r="3">
      <x:c r="A3" s="32" t="str">
        <x:v>Input</x:v>
      </x:c>
      <x:c r="B3" s="32" t="str">
        <x:v>Value</x:v>
      </x:c>
      <x:c r="C3" s="32" t="str">
        <x:v>Unit</x:v>
      </x:c>
      <x:c r="D3" s="32" t="str">
        <x:v>Note</x:v>
      </x:c>
      <x:c r="E3" s="31"/>
      <x:c r="F3" s="31"/>
    </x:row>
    <x:row r="4">
      <x:c r="A4" s="31" t="str">
        <x:v>Monthly primary income</x:v>
      </x:c>
      <x:c r="B4" s="33" t="n">
        <x:v>8000000</x:v>
      </x:c>
      <x:c r="C4" s="31" t="str">
        <x:v>VND/month</x:v>
      </x:c>
      <x:c r="D4" s="31" t="str">
        <x:v>FinancialProfile</x:v>
      </x:c>
      <x:c r="E4" s="31"/>
      <x:c r="F4" s="31"/>
    </x:row>
    <x:row r="5">
      <x:c r="A5" s="31" t="str">
        <x:v>Monthly other income</x:v>
      </x:c>
      <x:c r="B5" s="33" t="n">
        <x:v>2000000</x:v>
      </x:c>
      <x:c r="C5" s="31" t="str">
        <x:v>VND/month</x:v>
      </x:c>
      <x:c r="D5" s="31" t="str">
        <x:v>FinancialProfile</x:v>
      </x:c>
      <x:c r="E5" s="31"/>
      <x:c r="F5" s="31"/>
    </x:row>
    <x:row r="6">
      <x:c r="A6" s="31" t="str">
        <x:v>Monthly essential expense</x:v>
      </x:c>
      <x:c r="B6" s="33" t="n">
        <x:v>5000000</x:v>
      </x:c>
      <x:c r="C6" s="31" t="str">
        <x:v>VND/month</x:v>
      </x:c>
      <x:c r="D6" s="31" t="str">
        <x:v>FinancialProfile</x:v>
      </x:c>
      <x:c r="E6" s="31"/>
      <x:c r="F6" s="31"/>
    </x:row>
    <x:row r="7">
      <x:c r="A7" s="31" t="str">
        <x:v>Monthly discretionary expense</x:v>
      </x:c>
      <x:c r="B7" s="33" t="n">
        <x:v>2000000</x:v>
      </x:c>
      <x:c r="C7" s="31" t="str">
        <x:v>VND/month</x:v>
      </x:c>
      <x:c r="D7" s="31" t="str">
        <x:v>FinancialProfile</x:v>
      </x:c>
      <x:c r="E7" s="31"/>
      <x:c r="F7" s="31"/>
    </x:row>
    <x:row r="8">
      <x:c r="A8" s="31" t="str">
        <x:v>Monthly debt payment</x:v>
      </x:c>
      <x:c r="B8" s="33" t="n">
        <x:v>0</x:v>
      </x:c>
      <x:c r="C8" s="31" t="str">
        <x:v>VND/month</x:v>
      </x:c>
      <x:c r="D8" s="31" t="str">
        <x:v>FinancialProfile</x:v>
      </x:c>
      <x:c r="E8" s="31"/>
      <x:c r="F8" s="31"/>
    </x:row>
    <x:row r="9">
      <x:c r="A9" s="31" t="str">
        <x:v>Current savings</x:v>
      </x:c>
      <x:c r="B9" s="33" t="n">
        <x:v>15000000</x:v>
      </x:c>
      <x:c r="C9" s="31" t="str">
        <x:v>VND</x:v>
      </x:c>
      <x:c r="D9" s="31" t="str">
        <x:v>FinancialProfile</x:v>
      </x:c>
      <x:c r="E9" s="31"/>
      <x:c r="F9" s="31"/>
    </x:row>
    <x:row r="10">
      <x:c r="A10" s="31" t="str">
        <x:v>Emergency fund reserved</x:v>
      </x:c>
      <x:c r="B10" s="33" t="n">
        <x:v>5000000</x:v>
      </x:c>
      <x:c r="C10" s="31" t="str">
        <x:v>VND</x:v>
      </x:c>
      <x:c r="D10" s="31" t="str">
        <x:v>FinancialProfile</x:v>
      </x:c>
      <x:c r="E10" s="31"/>
      <x:c r="F10" s="31"/>
    </x:row>
    <x:row r="11">
      <x:c r="A11" s="31" t="str">
        <x:v>Goal amount</x:v>
      </x:c>
      <x:c r="B11" s="33" t="n">
        <x:v>100000000</x:v>
      </x:c>
      <x:c r="C11" s="31" t="str">
        <x:v>VND</x:v>
      </x:c>
      <x:c r="D11" s="31" t="str">
        <x:v>FinancialProfile</x:v>
      </x:c>
      <x:c r="E11" s="31"/>
      <x:c r="F11" s="31"/>
    </x:row>
    <x:row r="12">
      <x:c r="A12" s="31" t="str">
        <x:v>Goal horizon</x:v>
      </x:c>
      <x:c r="B12" s="33" t="n">
        <x:v>36</x:v>
      </x:c>
      <x:c r="C12" s="31" t="str">
        <x:v>months</x:v>
      </x:c>
      <x:c r="D12" s="31" t="str">
        <x:v>FinancialProfile</x:v>
      </x:c>
      <x:c r="E12" s="31"/>
      <x:c r="F12" s="31"/>
    </x:row>
    <x:row r="13">
      <x:c r="A13" s="31" t="str">
        <x:v>Annual return rate</x:v>
      </x:c>
      <x:c r="B13" s="34" t="n">
        <x:v>0</x:v>
      </x:c>
      <x:c r="C13" s="31" t="str">
        <x:v>decimal/year</x:v>
      </x:c>
      <x:c r="D13" s="31" t="str">
        <x:v>Assumption</x:v>
      </x:c>
      <x:c r="E13" s="31"/>
      <x:c r="F13" s="31"/>
    </x:row>
    <x:row r="14">
      <x:c r="A14" s="31" t="str">
        <x:v>Monthly contribution</x:v>
      </x:c>
      <x:c r="B14" s="33" t="n">
        <x:v>3000000</x:v>
      </x:c>
      <x:c r="C14" s="31" t="str">
        <x:v>VND/month</x:v>
      </x:c>
      <x:c r="D14" s="31" t="str">
        <x:v>Assumption/default surplus</x:v>
      </x:c>
      <x:c r="E14" s="31"/>
      <x:c r="F14" s="31"/>
    </x:row>
    <x:row r="15">
      <x:c r="A15" s="31" t="str">
        <x:v>Annual inflation rate</x:v>
      </x:c>
      <x:c r="B15" s="34" t="n">
        <x:v>0.04</x:v>
      </x:c>
      <x:c r="C15" s="31" t="str">
        <x:v>decimal/year</x:v>
      </x:c>
      <x:c r="D15" s="31" t="str">
        <x:v>Assumption</x:v>
      </x:c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2" t="str">
        <x:v>Metric</x:v>
      </x:c>
      <x:c r="B17" s="32" t="str">
        <x:v>Calculation</x:v>
      </x:c>
      <x:c r="C17" s="32" t="str">
        <x:v>Excel Result</x:v>
      </x:c>
      <x:c r="D17" s="32" t="str">
        <x:v>Python Result</x:v>
      </x:c>
      <x:c r="E17" s="32" t="str">
        <x:v>Difference</x:v>
      </x:c>
      <x:c r="F17" s="32" t="str">
        <x:v>Status</x:v>
      </x:c>
    </x:row>
    <x:row r="18">
      <x:c r="A18" s="31" t="str">
        <x:v>Total monthly income</x:v>
      </x:c>
      <x:c r="B18" s="31" t="str">
        <x:v>Primary income + Other income</x:v>
      </x:c>
      <x:c r="C18" s="35" t="n">
        <x:f>B4+B5</x:f>
        <x:v>10000000</x:v>
      </x:c>
      <x:c r="D18" s="36" t="n">
        <x:v>10000000</x:v>
      </x:c>
      <x:c r="E18" s="35" t="n">
        <x:f>C18-D18</x:f>
        <x:v>0</x:v>
      </x:c>
      <x:c r="F18" s="31" t="str">
        <x:f>IF(ABS(E18)&lt;0.01,"PASS","FAIL")</x:f>
        <x:v>PASS</x:v>
      </x:c>
    </x:row>
    <x:row r="19">
      <x:c r="A19" s="31" t="str">
        <x:v>Total monthly outflow</x:v>
      </x:c>
      <x:c r="B19" s="31" t="str">
        <x:v>Essential + Discretionary + Debt</x:v>
      </x:c>
      <x:c r="C19" s="35" t="n">
        <x:f>SUM(B6:B8)</x:f>
        <x:v>7000000</x:v>
      </x:c>
      <x:c r="D19" s="36" t="n">
        <x:v>7000000</x:v>
      </x:c>
      <x:c r="E19" s="35" t="n">
        <x:f>C19-D19</x:f>
        <x:v>0</x:v>
      </x:c>
      <x:c r="F19" s="31" t="str">
        <x:f>IF(ABS(E19)&lt;0.01,"PASS","FAIL")</x:f>
        <x:v>PASS</x:v>
      </x:c>
    </x:row>
    <x:row r="20">
      <x:c r="A20" s="31" t="str">
        <x:v>Monthly surplus</x:v>
      </x:c>
      <x:c r="B20" s="31" t="str">
        <x:v>Total income - Total outflow</x:v>
      </x:c>
      <x:c r="C20" s="35" t="n">
        <x:f>C18-C19</x:f>
        <x:v>3000000</x:v>
      </x:c>
      <x:c r="D20" s="36" t="n">
        <x:v>3000000</x:v>
      </x:c>
      <x:c r="E20" s="35" t="n">
        <x:f>C20-D20</x:f>
        <x:v>0</x:v>
      </x:c>
      <x:c r="F20" s="31" t="str">
        <x:f>IF(ABS(E20)&lt;0.01,"PASS","FAIL")</x:f>
        <x:v>PASS</x:v>
      </x:c>
    </x:row>
    <x:row r="21">
      <x:c r="A21" s="31" t="str">
        <x:v>Savings rate</x:v>
      </x:c>
      <x:c r="B21" s="31" t="str">
        <x:v>Monthly surplus / Total income</x:v>
      </x:c>
      <x:c r="C21" s="37" t="n">
        <x:f>IF(C18=0,NA(),C20/C18)</x:f>
        <x:v>0.3</x:v>
      </x:c>
      <x:c r="D21" s="34" t="n">
        <x:v>0.3</x:v>
      </x:c>
      <x:c r="E21" s="38" t="n">
        <x:f>C21-D21</x:f>
        <x:v>0</x:v>
      </x:c>
      <x:c r="F21" s="31" t="str">
        <x:f>IF(ABS(E21)&lt;0.01,"PASS","FAIL")</x:f>
        <x:v>PASS</x:v>
      </x:c>
    </x:row>
    <x:row r="22">
      <x:c r="A22" s="31" t="str">
        <x:v>Initial available amount</x:v>
      </x:c>
      <x:c r="B22" s="31" t="str">
        <x:v>MAX(Current savings - Emergency reserve, 0)</x:v>
      </x:c>
      <x:c r="C22" s="35" t="n">
        <x:f>MAX(B9-B10,0)</x:f>
        <x:v>10000000</x:v>
      </x:c>
      <x:c r="D22" s="36" t="n">
        <x:v>10000000</x:v>
      </x:c>
      <x:c r="E22" s="35" t="n">
        <x:f>C22-D22</x:f>
        <x:v>0</x:v>
      </x:c>
      <x:c r="F22" s="31" t="str">
        <x:f>IF(ABS(E22)&lt;0.01,"PASS","FAIL")</x:f>
        <x:v>PASS</x:v>
      </x:c>
    </x:row>
    <x:row r="23">
      <x:c r="A23" s="31" t="str">
        <x:v>Monthly return rate</x:v>
      </x:c>
      <x:c r="B23" s="31" t="str">
        <x:v>(1 + annual return)^(1/12) - 1</x:v>
      </x:c>
      <x:c r="C23" s="39" t="n">
        <x:f>IF(B13=0,0,(1+B13)^(1/12)-1)</x:f>
        <x:v>0</x:v>
      </x:c>
      <x:c r="D23" s="40" t="n">
        <x:v>0</x:v>
      </x:c>
      <x:c r="E23" s="38" t="n">
        <x:f>C23-D23</x:f>
        <x:v>0</x:v>
      </x:c>
      <x:c r="F23" s="31" t="str">
        <x:f>IF(ABS(E23)&lt;0.01,"PASS","FAIL")</x:f>
        <x:v>PASS</x:v>
      </x:c>
    </x:row>
    <x:row r="24">
      <x:c r="A24" s="31" t="str">
        <x:v>Monthly inflation rate</x:v>
      </x:c>
      <x:c r="B24" s="31" t="str">
        <x:v>(1 + annual inflation)^(1/12) - 1</x:v>
      </x:c>
      <x:c r="C24" s="39" t="n">
        <x:f>IF(B15=0,0,(1+B15)^(1/12)-1)</x:f>
        <x:v>0.0032737397821989145</x:v>
      </x:c>
      <x:c r="D24" s="40" t="n">
        <x:v>0.0032737397821989145</x:v>
      </x:c>
      <x:c r="E24" s="38" t="n">
        <x:f>C24-D24</x:f>
        <x:v>0</x:v>
      </x:c>
      <x:c r="F24" s="31" t="str">
        <x:f>IF(ABS(E24)&lt;0.01,"PASS","FAIL")</x:f>
        <x:v>PASS</x:v>
      </x:c>
    </x:row>
    <x:row r="25">
      <x:c r="A25" s="31" t="str">
        <x:v>Adjusted goal amount</x:v>
      </x:c>
      <x:c r="B25" s="31" t="str">
        <x:v>Goal × (1 + monthly inflation)^n</x:v>
      </x:c>
      <x:c r="C25" s="35" t="n">
        <x:f>B11*(1+C24)^B12</x:f>
        <x:v>112486400.00000018</x:v>
      </x:c>
      <x:c r="D25" s="36" t="n">
        <x:v>112486400.00000021</x:v>
      </x:c>
      <x:c r="E25" s="35" t="n">
        <x:f>C25-D25</x:f>
        <x:v>-2.9802322387695312e-8</x:v>
      </x:c>
      <x:c r="F25" s="31" t="str">
        <x:f>IF(ABS(E25)&lt;0.01,"PASS","FAIL")</x:f>
        <x:v>PASS</x:v>
      </x:c>
    </x:row>
    <x:row r="26">
      <x:c r="A26" s="31" t="str">
        <x:v>FV initial</x:v>
      </x:c>
      <x:c r="B26" s="31" t="str">
        <x:v>PV × (1 + monthly return)^n</x:v>
      </x:c>
      <x:c r="C26" s="35" t="n">
        <x:f>C22*(1+C23)^B12</x:f>
        <x:v>10000000</x:v>
      </x:c>
      <x:c r="D26" s="36" t="n">
        <x:v>10000000</x:v>
      </x:c>
      <x:c r="E26" s="35" t="n">
        <x:f>C26-D26</x:f>
        <x:v>0</x:v>
      </x:c>
      <x:c r="F26" s="31" t="str">
        <x:f>IF(ABS(E26)&lt;0.01,"PASS","FAIL")</x:f>
        <x:v>PASS</x:v>
      </x:c>
    </x:row>
    <x:row r="27">
      <x:c r="A27" s="31" t="str">
        <x:v>FV contribution</x:v>
      </x:c>
      <x:c r="B27" s="31" t="str">
        <x:v>PMT annuity; PMT×n when return=0</x:v>
      </x:c>
      <x:c r="C27" s="35" t="n">
        <x:f>IF(C23=0,B14*B12,B14*(((1+C23)^B12-1)/C23))</x:f>
        <x:v>108000000</x:v>
      </x:c>
      <x:c r="D27" s="36" t="n">
        <x:v>108000000</x:v>
      </x:c>
      <x:c r="E27" s="35" t="n">
        <x:f>C27-D27</x:f>
        <x:v>0</x:v>
      </x:c>
      <x:c r="F27" s="31" t="str">
        <x:f>IF(ABS(E27)&lt;0.01,"PASS","FAIL")</x:f>
        <x:v>PASS</x:v>
      </x:c>
    </x:row>
    <x:row r="28">
      <x:c r="A28" s="31" t="str">
        <x:v>FV total</x:v>
      </x:c>
      <x:c r="B28" s="31" t="str">
        <x:v>FV initial + FV contribution</x:v>
      </x:c>
      <x:c r="C28" s="35" t="n">
        <x:f>C26+C27</x:f>
        <x:v>118000000</x:v>
      </x:c>
      <x:c r="D28" s="36" t="n">
        <x:v>118000000</x:v>
      </x:c>
      <x:c r="E28" s="35" t="n">
        <x:f>C28-D28</x:f>
        <x:v>0</x:v>
      </x:c>
      <x:c r="F28" s="31" t="str">
        <x:f>IF(ABS(E28)&lt;0.01,"PASS","FAIL")</x:f>
        <x:v>PASS</x:v>
      </x:c>
    </x:row>
    <x:row r="29">
      <x:c r="A29" s="31" t="str">
        <x:v>Goal gap</x:v>
      </x:c>
      <x:c r="B29" s="31" t="str">
        <x:v>Adjusted goal - FV total</x:v>
      </x:c>
      <x:c r="C29" s="35" t="n">
        <x:f>C25-C28</x:f>
        <x:v>-5513599.999999821</x:v>
      </x:c>
      <x:c r="D29" s="36" t="n">
        <x:v>-5513599.999999791</x:v>
      </x:c>
      <x:c r="E29" s="35" t="n">
        <x:f>C29-D29</x:f>
        <x:v>-2.9802322387695312e-8</x:v>
      </x:c>
      <x:c r="F29" s="31" t="str">
        <x:f>IF(ABS(E29)&lt;0.01,"PASS","FAIL")</x:f>
        <x:v>PASS</x:v>
      </x:c>
    </x:row>
    <x:row r="30">
      <x:c r="A30" s="31" t="str">
        <x:v>Required monthly contribution</x:v>
      </x:c>
      <x:c r="B30" s="31" t="str">
        <x:v>Solve PMT needed to hit adjusted goal</x:v>
      </x:c>
      <x:c r="C30" s="35" t="n">
        <x:f>IF(C23=0,MAX(0,(C25-C26)/B12),MAX(0,(C25-C26)/(((1+C23)^B12-1)/C23)))</x:f>
        <x:v>2846844.4444444496</x:v>
      </x:c>
      <x:c r="D30" s="36" t="n">
        <x:v>2846844.44444445</x:v>
      </x:c>
      <x:c r="E30" s="35" t="n">
        <x:f>C30-D30</x:f>
        <x:v>-4.656612873077393e-10</x:v>
      </x:c>
      <x:c r="F30" s="31" t="str">
        <x:f>IF(ABS(E30)&lt;0.01,"PASS","FAIL")</x:f>
        <x:v>PASS</x:v>
      </x:c>
    </x:row>
    <x:row r="31">
      <x:c r="A31" s="31" t="str">
        <x:v>Contribution affordability gap</x:v>
      </x:c>
      <x:c r="B31" s="31" t="str">
        <x:v>MAX(Current PMT - MAX(Surplus,0), 0)</x:v>
      </x:c>
      <x:c r="C31" s="35" t="n">
        <x:f>MAX(B14-MAX(C20,0),0)</x:f>
        <x:v>0</x:v>
      </x:c>
      <x:c r="D31" s="36" t="n">
        <x:v>0</x:v>
      </x:c>
      <x:c r="E31" s="35" t="n">
        <x:f>C31-D31</x:f>
        <x:v>0</x:v>
      </x:c>
      <x:c r="F31" s="31" t="str">
        <x:f>IF(ABS(E31)&lt;0.01,"PASS","FAIL")</x:f>
        <x:v>PASS</x:v>
      </x:c>
    </x:row>
    <x:row r="32">
      <x:c r="A32" s="31" t="str">
        <x:v>Required contribution gap</x:v>
      </x:c>
      <x:c r="B32" s="31" t="str">
        <x:v>MAX(Required PMT - MAX(Surplus,0), 0)</x:v>
      </x:c>
      <x:c r="C32" s="35" t="n">
        <x:f>MAX(C30-MAX(C20,0),0)</x:f>
        <x:v>0</x:v>
      </x:c>
      <x:c r="D32" s="36" t="n">
        <x:v>0</x:v>
      </x:c>
      <x:c r="E32" s="35" t="n">
        <x:f>C32-D32</x:f>
        <x:v>0</x:v>
      </x:c>
      <x:c r="F32" s="31" t="str">
        <x:f>IF(ABS(E32)&lt;0.01,"PASS","FAIL")</x:f>
        <x:v>PASS</x:v>
      </x:c>
    </x:row>
  </x:sheetData>
  <x:mergeCells>
    <x:mergeCell ref="A1:F1"/>
  </x:mergeCells>
  <x:pageMargins left="0.7" right="0.7" top="0.75" bottom="0.75" header="0.3" footer="0.3"/>
</x:worksheet>
</file>